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<sst xmlns="http://schemas.openxmlformats.org/spreadsheetml/2006/main" count="150" uniqueCount="105">
  <si>
    <t>Item_No</t>
  </si>
  <si>
    <t>Machine Type</t>
  </si>
  <si>
    <t>Machine Name</t>
  </si>
  <si>
    <t>Identified Model / Capacity</t>
  </si>
  <si>
    <t>Machine Length (in)</t>
  </si>
  <si>
    <t>Machine Width (in)</t>
  </si>
  <si>
    <t>Bolster Length LR (in)</t>
  </si>
  <si>
    <t>Bolster Width FB (in)</t>
  </si>
  <si>
    <t>Bolster / Bed Area (in)</t>
  </si>
  <si>
    <t>Notes</t>
  </si>
  <si>
    <t>Source</t>
  </si>
  <si>
    <t>Source URL</t>
  </si>
  <si>
    <t>Press Machine</t>
  </si>
  <si>
    <t>SEYI SL2</t>
  </si>
  <si>
    <t>SEYI SL2-200 / SLS2-200 (200T)</t>
  </si>
  <si>
    <t>Standard 200T model; bolster also available in 2200 x 840 mm</t>
  </si>
  <si>
    <t>SEYI Catalog / Hennordic</t>
  </si>
  <si>
    <t>https://www.seyi.com/uploadfiles/901/catalog/03_SNS_SLS/05-2_seyi-sns_sls_full_e_si_202105.pdf</t>
  </si>
  <si>
    <t>SEYI SN2</t>
  </si>
  <si>
    <t>SEYI SN2-200 (200T Standard)</t>
  </si>
  <si>
    <t>SN2-110: 2190x1810 | SN2-160: 2375x2085 | SN2-200: 2725x2230 | SN2-250: 3015x2530</t>
  </si>
  <si>
    <t>SEYI SN2 Brochure</t>
  </si>
  <si>
    <t>https://www.presscare.co.uk/product-brochures/2015/SEYI-SN2.pdf</t>
  </si>
  <si>
    <t>COWLISHAW WALKER S2-0-72-10</t>
  </si>
  <si>
    <t>Cowlishaw Walker S2-72" Straight-Side</t>
  </si>
  <si>
    <t>72" x 48" bed, 10" (254 mm) stroke; approximate overall footprint</t>
  </si>
  <si>
    <t>Cott &amp; Co. / pressXchange</t>
  </si>
  <si>
    <t>https://www.pressxchange.com/en/machinetools/press-trimming-cowlishaw-walker-s1-600-48-12/machine-id/255397/</t>
  </si>
  <si>
    <t>TORC-PAC 45</t>
  </si>
  <si>
    <t>Clearing / Bliss Torc-Pac 45 (45T)</t>
  </si>
  <si>
    <t>53" FB x 40.5" W upright (62" / 1575 mm FB when inclined); 28" x 18" bolster</t>
  </si>
  <si>
    <t>ANDRITZ BCN Torc-Pac 45 Specs</t>
  </si>
  <si>
    <t>https://bcntechserv.com/collection/torc-pac-45/</t>
  </si>
  <si>
    <t>SNC - 60</t>
  </si>
  <si>
    <t>SEYI SNC-60 (60T C-Frame)</t>
  </si>
  <si>
    <t>60T C-Frame press</t>
  </si>
  <si>
    <t>Kiyokuni Equipment List / SEYI SN Specs</t>
  </si>
  <si>
    <t>https://www.kiyokuni.com/indonesia-kt-equipment.php</t>
  </si>
  <si>
    <t>KOMATSU</t>
  </si>
  <si>
    <t>Komatsu OBS-80 / OBS-110 (Typical)</t>
  </si>
  <si>
    <t>80T standard shown; 110T bolster is 1100 x 650 mm</t>
  </si>
  <si>
    <t>Yamazen Komatsu OBS</t>
  </si>
  <si>
    <t>https://yamazenvn.com/en/mechanical-press-komatsu-obs-series/</t>
  </si>
  <si>
    <t>FENG YU</t>
  </si>
  <si>
    <t>Feng Yu Taiwan C-Frame (35T-60T)</t>
  </si>
  <si>
    <t>Taiwan CNS C-Frame standard (35T: 780x400 bolster; 60T: 900x520 bolster)</t>
  </si>
  <si>
    <t>Taiwan CNS C-Frame Standard Specs</t>
  </si>
  <si>
    <t>https://www.seyi.com/c-frame-crank-press_sn.html</t>
  </si>
  <si>
    <t>SEYI SN1-35</t>
  </si>
  <si>
    <t>SEYI SN1-35 (35T C-Frame)</t>
  </si>
  <si>
    <t>Overall floor space 1425 x 985 x 2185 mm (Base foot: 1125 x 830 mm)</t>
  </si>
  <si>
    <t>SEYI Official SN1 Specs</t>
  </si>
  <si>
    <t>SEYI SN1-60</t>
  </si>
  <si>
    <t>SEYI SN1-60 (60T C-Frame)</t>
  </si>
  <si>
    <t>Overall floor space 1620 x 1085 x 2540 mm (Base foot: 1315 x 940 mm)</t>
  </si>
  <si>
    <t>JG35-500C</t>
  </si>
  <si>
    <t>J35 / JG35-500C (500T 2-Point Press)</t>
  </si>
  <si>
    <t>500T two-point mechanical press</t>
  </si>
  <si>
    <t>JIER J35 Series Technical Data</t>
  </si>
  <si>
    <t>https://www.jier-na.com/cm/dpl/downloads/articles/12/Technical_Data_-_C_Frame_front-supported_two-point_mechanical_press.pdf</t>
  </si>
  <si>
    <t>CHIN FONG (STO-5-XXXXX 130)</t>
  </si>
  <si>
    <t>Chin Fong ST1 / OCP (130mm Stroke / 130T-160T)</t>
  </si>
  <si>
    <t>Alternate bolster configuration: 1000 x 760 mm</t>
  </si>
  <si>
    <t>Chin Fong OCP / ST1 Catalog</t>
  </si>
  <si>
    <t>https://www.worcesterpresses.co.uk/wp-content/uploads/2024/05/ST1-STL1-2212-E03.pdf</t>
  </si>
  <si>
    <t>KOMATSU 200</t>
  </si>
  <si>
    <t>Komatsu OBS 200 (200T Gap Frame)</t>
  </si>
  <si>
    <t>57.1" x 33.5" bolster</t>
  </si>
  <si>
    <t>Ganz International / Rygate OBS 200-2</t>
  </si>
  <si>
    <t>https://ganzinternational.sg/product-category/press/</t>
  </si>
  <si>
    <t>KOMATSU 80 TONNAGE</t>
  </si>
  <si>
    <t>Komatsu OBS 80 (80T Gap Frame)</t>
  </si>
  <si>
    <t>39.3" x 23.6" bolster</t>
  </si>
  <si>
    <t>Ganz International / Rygate OBS-80-VS</t>
  </si>
  <si>
    <t>https://rygatellc.com/equipment/7894138-komatsu-obs-80-vs-gap-frame-obs-presses</t>
  </si>
  <si>
    <t>VASINO JAPAN PUX100</t>
  </si>
  <si>
    <t>Amada Wasino PUX-100 (100T C-Frame)</t>
  </si>
  <si>
    <t>Up to 2320 x 1120 mm with external guards; bolster 1020x600 or 1100x600 mm</t>
  </si>
  <si>
    <t>Marvel Machine Tools Wasino 100T</t>
  </si>
  <si>
    <t>https://www.marvelmachinetools.com/1272-wasino-c-frame-single-crank-press-9522818.html</t>
  </si>
  <si>
    <t>Pneumatic Press</t>
  </si>
  <si>
    <t>AIDA (75 TONNAGE)</t>
  </si>
  <si>
    <t>AIDA NC1-80 / PC-75 (75T-80T)</t>
  </si>
  <si>
    <t>PC-75 bolster option: 900 x 460 mm</t>
  </si>
  <si>
    <t>AIDA Global NS1/NC1 / IndiaMART</t>
  </si>
  <si>
    <t>https://www.aida-global.com/mechanical-presses/single-point-unitized-frame-stamping-press-ns1/</t>
  </si>
  <si>
    <t>Nagao NCP _ 75</t>
  </si>
  <si>
    <t>Nagao Japan NCP-75 (75T C-Frame)</t>
  </si>
  <si>
    <t>75T Japanese C-Frame single crank press</t>
  </si>
  <si>
    <t>Tradeindia Nagao NCP-75 / Marvel Machine Tools</t>
  </si>
  <si>
    <t>https://www.tradeindia.com/products/1497-nagao-c-frame-single-crank-power-press-c10231236.html</t>
  </si>
  <si>
    <t>AIDA</t>
  </si>
  <si>
    <t>AIDA C1 / NC1 Series (80T-110T Standard)</t>
  </si>
  <si>
    <t>80T bolster: 950 x 600 mm; 110T bolster: 1080 x 680 mm</t>
  </si>
  <si>
    <t>AIDA Global Specs</t>
  </si>
  <si>
    <t>LOCAL MANUAL PRESS</t>
  </si>
  <si>
    <t>Manual Fly / Screw Press (Standard Floor/Bench)</t>
  </si>
  <si>
    <t>Typical range: 600-850 mm length x 400-600 mm width</t>
  </si>
  <si>
    <t>Standard Workshop Fly Press Dimensions</t>
  </si>
  <si>
    <t>N/A</t>
  </si>
  <si>
    <t>TORC - PAC</t>
  </si>
  <si>
    <t>Clearing Torc-Pac 45 / Torc-Pac 60</t>
  </si>
  <si>
    <t>Torc-Pac 45 shown (1346x1029 mm); Torc-Pac 60 is 1581x1226 mm (bolster 813x533 mm)</t>
  </si>
  <si>
    <t>ANDRITZ BCN Torc-Pac 60</t>
  </si>
  <si>
    <t>https://bcntechserv.com/collection/torc-pac-60/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</si>
</sst>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0.0"/>
      <color rgb="FF000000"/>
      <name val="Arial"/>
      <scheme val="minor"/>
    </font>
    <font>
      <b/>
      <color rgb="FFFFFFFF"/>
      <name val="Roboto"/>
    </font>
    <font>
      <color rgb="FF171B20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2E618B"/>
        <bgColor rgb="FF2E618B"/>
      </patternFill>
    </fill>
    <fill>
      <patternFill patternType="solid">
        <fgColor rgb="FFF6F9FF"/>
        <bgColor rgb="FFF6F9F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1"/>
    </xf>
    <xf borderId="0" fillId="2" fontId="1" numFmtId="0" xfId="0" applyAlignment="1" applyFill="1" applyFont="1">
      <alignment shrinkToFit="0" wrapText="1"/>
    </xf>
    <xf borderId="0" fillId="2" fontId="1" numFmtId="0" xfId="0" applyAlignment="1" applyFill="1" applyFont="1">
      <alignment horizontal="right" readingOrder="0" shrinkToFit="0" wrapText="1"/>
    </xf>
    <xf borderId="0" fillId="2" fontId="1" numFmtId="0" xfId="0" applyAlignment="1" applyFill="1" applyFont="1">
      <alignment horizontal="center" readingOrder="0" shrinkToFit="0" wrapText="1"/>
    </xf>
    <xf borderId="0" fillId="3" fontId="2" numFmtId="1" xfId="0" applyAlignment="1" applyFill="1" applyFont="1" applyNumberFormat="1">
      <alignment horizontal="center"/>
    </xf>
    <xf borderId="0" fillId="3" fontId="2" numFmtId="0" xfId="0" applyFill="1" applyFont="1"/>
    <xf borderId="0" fillId="3" fontId="2" numFmtId="164" xfId="0" applyAlignment="1" applyFill="1" applyFont="1" applyNumberFormat="1">
      <alignment horizontal="right"/>
    </xf>
    <xf borderId="0" fillId="3" fontId="2" numFmtId="0" xfId="0" applyAlignment="1" applyFill="1" applyFont="1">
      <alignment horizontal="center"/>
    </xf>
    <xf borderId="0" fillId="3" fontId="2" numFmtId="0" xfId="0" applyAlignment="1" applyFill="1" applyFont="1">
      <alignment shrinkToFit="0" wrapText="1"/>
    </xf>
    <xf borderId="0" fillId="3" fontId="2" numFmtId="0" xfId="0" applyAlignment="1" applyFill="1" applyFont="1">
      <alignment shrinkToFit="0" wrapText="0"/>
    </xf>
    <xf borderId="0" fillId="4" fontId="2" numFmtId="1" xfId="0" applyAlignment="1" applyFill="1" applyFont="1" applyNumberFormat="1">
      <alignment horizontal="center"/>
    </xf>
    <xf borderId="0" fillId="4" fontId="2" numFmtId="0" xfId="0" applyFill="1" applyFont="1"/>
    <xf borderId="0" fillId="4" fontId="2" numFmtId="164" xfId="0" applyAlignment="1" applyFill="1" applyFont="1" applyNumberFormat="1">
      <alignment horizontal="right"/>
    </xf>
    <xf borderId="0" fillId="4" fontId="2" numFmtId="0" xfId="0" applyAlignment="1" applyFill="1" applyFont="1">
      <alignment horizontal="center"/>
    </xf>
    <xf borderId="0" fillId="4" fontId="2" numFmtId="0" xfId="0" applyAlignment="1" applyFill="1" applyFont="1">
      <alignment shrinkToFit="0" wrapText="1"/>
    </xf>
    <xf borderId="0" fillId="4" fontId="2" numFmtId="0" xfId="0" applyAlignment="1" applyFill="1" applyFont="1">
      <alignment shrinkToFit="0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2E618B"/>
          <bgColor rgb="FF2E618B"/>
        </patternFill>
      </fill>
      <border/>
    </dxf>
    <dxf>
      <font/>
      <fill>
        <patternFill patternType="solid">
          <fgColor rgb="FFF6F9FF"/>
          <bgColor rgb="FFF6F9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24" displayName="Table_1" name="Table_1" id="1">
  <tableColumns count="12">
    <tableColumn name="Item_No" id="1"/>
    <tableColumn name="Machine Type" id="2"/>
    <tableColumn name="Machine Name" id="3"/>
    <tableColumn name="Identified Model / Capacity" id="4"/>
    <tableColumn name="Machine Length (in)" id="5"/>
    <tableColumn name="Machine Width (in)" id="6"/>
    <tableColumn name="Bolster Length LR (in)" id="7"/>
    <tableColumn name="Bolster Width FB (in)" id="8"/>
    <tableColumn name="Bolster / Bed Area (in)" id="9"/>
    <tableColumn name="Notes" id="10"/>
    <tableColumn name="Source" id="11"/>
    <tableColumn name="Source URL" id="1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25"/>
    <col customWidth="1" min="4" max="4" width="29.38"/>
    <col customWidth="1" min="5" max="5" width="13.63"/>
    <col customWidth="1" min="6" max="6" width="15.38"/>
    <col customWidth="1" min="7" max="7" width="12.5"/>
    <col customWidth="1" min="8" max="8" width="11.63"/>
    <col customWidth="1" min="9" max="9" width="11.25"/>
    <col customWidth="1" min="12" max="12" width="19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2" t="s">
        <v>9</v>
      </c>
      <c r="K1" s="2" t="s">
        <v>10</v>
      </c>
      <c r="L1" s="2" t="s">
        <v>11</v>
      </c>
    </row>
    <row r="2">
      <c r="A2" s="5">
        <v>1.0</v>
      </c>
      <c r="B2" s="6" t="s">
        <v>12</v>
      </c>
      <c r="C2" s="6" t="s">
        <v>13</v>
      </c>
      <c r="D2" s="6" t="s">
        <v>14</v>
      </c>
      <c r="E2" s="7">
        <f t="shared" ref="E2:E3" si="1">ROUND(2725/25.4, 1)</f>
        <v>107.3</v>
      </c>
      <c r="F2" s="7">
        <f t="shared" ref="F2:F3" si="2">ROUND(2230/25.4, 1)</f>
        <v>87.8</v>
      </c>
      <c r="G2" s="7">
        <f t="shared" ref="G2:G3" si="3">ROUND(2420/25.4, 1)</f>
        <v>95.3</v>
      </c>
      <c r="H2" s="7">
        <f t="shared" ref="H2:H3" si="4">ROUND(840/25.4, 1)</f>
        <v>33.1</v>
      </c>
      <c r="I2" s="8" t="str">
        <f t="shared" ref="I2:I24" si="5">ROUND(G2, 1) &amp; " x " &amp; ROUND(H2, 1)</f>
        <v>95.3 x 33.1</v>
      </c>
      <c r="J2" s="9" t="s">
        <v>15</v>
      </c>
      <c r="K2" s="9" t="s">
        <v>16</v>
      </c>
      <c r="L2" s="10" t="s">
        <v>17</v>
      </c>
    </row>
    <row r="3">
      <c r="A3" s="11">
        <v>2.0</v>
      </c>
      <c r="B3" s="12" t="s">
        <v>12</v>
      </c>
      <c r="C3" s="12" t="s">
        <v>18</v>
      </c>
      <c r="D3" s="12" t="s">
        <v>19</v>
      </c>
      <c r="E3" s="13">
        <f t="shared" si="1"/>
        <v>107.3</v>
      </c>
      <c r="F3" s="13">
        <f t="shared" si="2"/>
        <v>87.8</v>
      </c>
      <c r="G3" s="13">
        <f t="shared" si="3"/>
        <v>95.3</v>
      </c>
      <c r="H3" s="13">
        <f t="shared" si="4"/>
        <v>33.1</v>
      </c>
      <c r="I3" s="14" t="str">
        <f t="shared" si="5"/>
        <v>95.3 x 33.1</v>
      </c>
      <c r="J3" s="15" t="s">
        <v>20</v>
      </c>
      <c r="K3" s="15" t="s">
        <v>21</v>
      </c>
      <c r="L3" s="16" t="s">
        <v>22</v>
      </c>
    </row>
    <row r="4">
      <c r="A4" s="5">
        <v>3.0</v>
      </c>
      <c r="B4" s="6" t="s">
        <v>12</v>
      </c>
      <c r="C4" s="6" t="s">
        <v>23</v>
      </c>
      <c r="D4" s="6" t="s">
        <v>24</v>
      </c>
      <c r="E4" s="7">
        <f>ROUND(3200/25.4, 1)</f>
        <v>126</v>
      </c>
      <c r="F4" s="7">
        <f>ROUND(2100/25.4, 1)</f>
        <v>82.7</v>
      </c>
      <c r="G4" s="7">
        <f>ROUND(1829/25.4, 1)</f>
        <v>72</v>
      </c>
      <c r="H4" s="7">
        <f>ROUND(1219/25.4, 1)</f>
        <v>48</v>
      </c>
      <c r="I4" s="8" t="str">
        <f t="shared" si="5"/>
        <v>72 x 48</v>
      </c>
      <c r="J4" s="9" t="s">
        <v>25</v>
      </c>
      <c r="K4" s="9" t="s">
        <v>26</v>
      </c>
      <c r="L4" s="10" t="s">
        <v>27</v>
      </c>
    </row>
    <row r="5">
      <c r="A5" s="11">
        <v>4.0</v>
      </c>
      <c r="B5" s="12" t="s">
        <v>12</v>
      </c>
      <c r="C5" s="12" t="s">
        <v>28</v>
      </c>
      <c r="D5" s="12" t="s">
        <v>29</v>
      </c>
      <c r="E5" s="13">
        <f>ROUND(1346/25.4, 1)</f>
        <v>53</v>
      </c>
      <c r="F5" s="13">
        <f>ROUND(1029/25.4, 1)</f>
        <v>40.5</v>
      </c>
      <c r="G5" s="13">
        <f>ROUND(711/25.4, 1)</f>
        <v>28</v>
      </c>
      <c r="H5" s="13">
        <f>ROUND(457/25.4, 1)</f>
        <v>18</v>
      </c>
      <c r="I5" s="14" t="str">
        <f t="shared" si="5"/>
        <v>28 x 18</v>
      </c>
      <c r="J5" s="15" t="s">
        <v>30</v>
      </c>
      <c r="K5" s="15" t="s">
        <v>31</v>
      </c>
      <c r="L5" s="16" t="s">
        <v>32</v>
      </c>
    </row>
    <row r="6">
      <c r="A6" s="5">
        <v>5.0</v>
      </c>
      <c r="B6" s="6" t="s">
        <v>12</v>
      </c>
      <c r="C6" s="6" t="s">
        <v>33</v>
      </c>
      <c r="D6" s="6" t="s">
        <v>34</v>
      </c>
      <c r="E6" s="7">
        <f>ROUND(1620/25.4, 1)</f>
        <v>63.8</v>
      </c>
      <c r="F6" s="7">
        <f>ROUND(1085/25.4, 1)</f>
        <v>42.7</v>
      </c>
      <c r="G6" s="7">
        <f>ROUND(900/25.4, 1)</f>
        <v>35.4</v>
      </c>
      <c r="H6" s="7">
        <f>ROUND(520/25.4, 1)</f>
        <v>20.5</v>
      </c>
      <c r="I6" s="8" t="str">
        <f t="shared" si="5"/>
        <v>35.4 x 20.5</v>
      </c>
      <c r="J6" s="9" t="s">
        <v>35</v>
      </c>
      <c r="K6" s="9" t="s">
        <v>36</v>
      </c>
      <c r="L6" s="10" t="s">
        <v>37</v>
      </c>
    </row>
    <row r="7">
      <c r="A7" s="11">
        <v>6.0</v>
      </c>
      <c r="B7" s="12" t="s">
        <v>12</v>
      </c>
      <c r="C7" s="12" t="s">
        <v>38</v>
      </c>
      <c r="D7" s="12" t="s">
        <v>39</v>
      </c>
      <c r="E7" s="13">
        <f>ROUND(1750/25.4, 1)</f>
        <v>68.9</v>
      </c>
      <c r="F7" s="13">
        <f>ROUND(1180/25.4, 1)</f>
        <v>46.5</v>
      </c>
      <c r="G7" s="13">
        <f>ROUND(1000/25.4, 1)</f>
        <v>39.4</v>
      </c>
      <c r="H7" s="13">
        <f>ROUND(600/25.4, 1)</f>
        <v>23.6</v>
      </c>
      <c r="I7" s="14" t="str">
        <f t="shared" si="5"/>
        <v>39.4 x 23.6</v>
      </c>
      <c r="J7" s="15" t="s">
        <v>40</v>
      </c>
      <c r="K7" s="15" t="s">
        <v>41</v>
      </c>
      <c r="L7" s="16" t="s">
        <v>42</v>
      </c>
    </row>
    <row r="8">
      <c r="A8" s="5">
        <v>7.0</v>
      </c>
      <c r="B8" s="6" t="s">
        <v>12</v>
      </c>
      <c r="C8" s="6" t="s">
        <v>43</v>
      </c>
      <c r="D8" s="6" t="s">
        <v>44</v>
      </c>
      <c r="E8" s="7">
        <f>ROUND(1450/25.4, 1)</f>
        <v>57.1</v>
      </c>
      <c r="F8" s="7">
        <f>ROUND(1000/25.4, 1)</f>
        <v>39.4</v>
      </c>
      <c r="G8" s="7">
        <f t="shared" ref="G8:G13" si="6">ROUND(780/25.4, 1)</f>
        <v>30.7</v>
      </c>
      <c r="H8" s="7">
        <f t="shared" ref="H8:H13" si="7">ROUND(400/25.4, 1)</f>
        <v>15.7</v>
      </c>
      <c r="I8" s="8" t="str">
        <f t="shared" si="5"/>
        <v>30.7 x 15.7</v>
      </c>
      <c r="J8" s="9" t="s">
        <v>45</v>
      </c>
      <c r="K8" s="9" t="s">
        <v>46</v>
      </c>
      <c r="L8" s="10" t="s">
        <v>47</v>
      </c>
    </row>
    <row r="9">
      <c r="A9" s="11">
        <v>8.0</v>
      </c>
      <c r="B9" s="12" t="s">
        <v>12</v>
      </c>
      <c r="C9" s="12" t="s">
        <v>48</v>
      </c>
      <c r="D9" s="12" t="s">
        <v>49</v>
      </c>
      <c r="E9" s="13">
        <f t="shared" ref="E9:E13" si="8">ROUND(1425/25.4, 1)</f>
        <v>56.1</v>
      </c>
      <c r="F9" s="13">
        <f t="shared" ref="F9:F13" si="9">ROUND(985/25.4, 1)</f>
        <v>38.8</v>
      </c>
      <c r="G9" s="13">
        <f t="shared" si="6"/>
        <v>30.7</v>
      </c>
      <c r="H9" s="13">
        <f t="shared" si="7"/>
        <v>15.7</v>
      </c>
      <c r="I9" s="14" t="str">
        <f t="shared" si="5"/>
        <v>30.7 x 15.7</v>
      </c>
      <c r="J9" s="15" t="s">
        <v>50</v>
      </c>
      <c r="K9" s="15" t="s">
        <v>51</v>
      </c>
      <c r="L9" s="16" t="s">
        <v>47</v>
      </c>
    </row>
    <row r="10">
      <c r="A10" s="5">
        <v>9.0</v>
      </c>
      <c r="B10" s="6" t="s">
        <v>12</v>
      </c>
      <c r="C10" s="6" t="s">
        <v>48</v>
      </c>
      <c r="D10" s="6" t="s">
        <v>49</v>
      </c>
      <c r="E10" s="7">
        <f t="shared" si="8"/>
        <v>56.1</v>
      </c>
      <c r="F10" s="7">
        <f t="shared" si="9"/>
        <v>38.8</v>
      </c>
      <c r="G10" s="7">
        <f t="shared" si="6"/>
        <v>30.7</v>
      </c>
      <c r="H10" s="7">
        <f t="shared" si="7"/>
        <v>15.7</v>
      </c>
      <c r="I10" s="8" t="str">
        <f t="shared" si="5"/>
        <v>30.7 x 15.7</v>
      </c>
      <c r="J10" s="9" t="s">
        <v>50</v>
      </c>
      <c r="K10" s="9" t="s">
        <v>51</v>
      </c>
      <c r="L10" s="10" t="s">
        <v>47</v>
      </c>
    </row>
    <row r="11">
      <c r="A11" s="11">
        <v>10.0</v>
      </c>
      <c r="B11" s="12" t="s">
        <v>12</v>
      </c>
      <c r="C11" s="12" t="s">
        <v>48</v>
      </c>
      <c r="D11" s="12" t="s">
        <v>49</v>
      </c>
      <c r="E11" s="13">
        <f t="shared" si="8"/>
        <v>56.1</v>
      </c>
      <c r="F11" s="13">
        <f t="shared" si="9"/>
        <v>38.8</v>
      </c>
      <c r="G11" s="13">
        <f t="shared" si="6"/>
        <v>30.7</v>
      </c>
      <c r="H11" s="13">
        <f t="shared" si="7"/>
        <v>15.7</v>
      </c>
      <c r="I11" s="14" t="str">
        <f t="shared" si="5"/>
        <v>30.7 x 15.7</v>
      </c>
      <c r="J11" s="15" t="s">
        <v>50</v>
      </c>
      <c r="K11" s="15" t="s">
        <v>51</v>
      </c>
      <c r="L11" s="16" t="s">
        <v>47</v>
      </c>
    </row>
    <row r="12">
      <c r="A12" s="5">
        <v>11.0</v>
      </c>
      <c r="B12" s="6" t="s">
        <v>12</v>
      </c>
      <c r="C12" s="6" t="s">
        <v>48</v>
      </c>
      <c r="D12" s="6" t="s">
        <v>49</v>
      </c>
      <c r="E12" s="7">
        <f t="shared" si="8"/>
        <v>56.1</v>
      </c>
      <c r="F12" s="7">
        <f t="shared" si="9"/>
        <v>38.8</v>
      </c>
      <c r="G12" s="7">
        <f t="shared" si="6"/>
        <v>30.7</v>
      </c>
      <c r="H12" s="7">
        <f t="shared" si="7"/>
        <v>15.7</v>
      </c>
      <c r="I12" s="8" t="str">
        <f t="shared" si="5"/>
        <v>30.7 x 15.7</v>
      </c>
      <c r="J12" s="9" t="s">
        <v>50</v>
      </c>
      <c r="K12" s="9" t="s">
        <v>51</v>
      </c>
      <c r="L12" s="10" t="s">
        <v>47</v>
      </c>
    </row>
    <row r="13">
      <c r="A13" s="11">
        <v>12.0</v>
      </c>
      <c r="B13" s="12" t="s">
        <v>12</v>
      </c>
      <c r="C13" s="12" t="s">
        <v>48</v>
      </c>
      <c r="D13" s="12" t="s">
        <v>49</v>
      </c>
      <c r="E13" s="13">
        <f t="shared" si="8"/>
        <v>56.1</v>
      </c>
      <c r="F13" s="13">
        <f t="shared" si="9"/>
        <v>38.8</v>
      </c>
      <c r="G13" s="13">
        <f t="shared" si="6"/>
        <v>30.7</v>
      </c>
      <c r="H13" s="13">
        <f t="shared" si="7"/>
        <v>15.7</v>
      </c>
      <c r="I13" s="14" t="str">
        <f t="shared" si="5"/>
        <v>30.7 x 15.7</v>
      </c>
      <c r="J13" s="15" t="s">
        <v>50</v>
      </c>
      <c r="K13" s="15" t="s">
        <v>51</v>
      </c>
      <c r="L13" s="16" t="s">
        <v>47</v>
      </c>
    </row>
    <row r="14">
      <c r="A14" s="5">
        <v>13.0</v>
      </c>
      <c r="B14" s="6" t="s">
        <v>12</v>
      </c>
      <c r="C14" s="6" t="s">
        <v>52</v>
      </c>
      <c r="D14" s="6" t="s">
        <v>53</v>
      </c>
      <c r="E14" s="7">
        <f>ROUND(1620/25.4, 1)</f>
        <v>63.8</v>
      </c>
      <c r="F14" s="7">
        <f>ROUND(1085/25.4, 1)</f>
        <v>42.7</v>
      </c>
      <c r="G14" s="7">
        <f>ROUND(900/25.4, 1)</f>
        <v>35.4</v>
      </c>
      <c r="H14" s="7">
        <f>ROUND(520/25.4, 1)</f>
        <v>20.5</v>
      </c>
      <c r="I14" s="8" t="str">
        <f t="shared" si="5"/>
        <v>35.4 x 20.5</v>
      </c>
      <c r="J14" s="9" t="s">
        <v>54</v>
      </c>
      <c r="K14" s="9" t="s">
        <v>51</v>
      </c>
      <c r="L14" s="10" t="s">
        <v>47</v>
      </c>
    </row>
    <row r="15">
      <c r="A15" s="11">
        <v>14.0</v>
      </c>
      <c r="B15" s="12" t="s">
        <v>12</v>
      </c>
      <c r="C15" s="12" t="s">
        <v>55</v>
      </c>
      <c r="D15" s="12" t="s">
        <v>56</v>
      </c>
      <c r="E15" s="13">
        <f>ROUND(3600/25.4, 1)</f>
        <v>141.7</v>
      </c>
      <c r="F15" s="13">
        <f>ROUND(2200/25.4, 1)</f>
        <v>86.6</v>
      </c>
      <c r="G15" s="13">
        <f>ROUND(2500/25.4, 1)</f>
        <v>98.4</v>
      </c>
      <c r="H15" s="13">
        <f>ROUND(1250/25.4, 1)</f>
        <v>49.2</v>
      </c>
      <c r="I15" s="14" t="str">
        <f t="shared" si="5"/>
        <v>98.4 x 49.2</v>
      </c>
      <c r="J15" s="15" t="s">
        <v>57</v>
      </c>
      <c r="K15" s="15" t="s">
        <v>58</v>
      </c>
      <c r="L15" s="16" t="s">
        <v>59</v>
      </c>
    </row>
    <row r="16">
      <c r="A16" s="5">
        <v>15.0</v>
      </c>
      <c r="B16" s="6" t="s">
        <v>12</v>
      </c>
      <c r="C16" s="6" t="s">
        <v>60</v>
      </c>
      <c r="D16" s="6" t="s">
        <v>61</v>
      </c>
      <c r="E16" s="7">
        <f>ROUND(2175/25.4, 1)</f>
        <v>85.6</v>
      </c>
      <c r="F16" s="7">
        <f>ROUND(1420/25.4, 1)</f>
        <v>55.9</v>
      </c>
      <c r="G16" s="7">
        <f>ROUND(1150/25.4, 1)</f>
        <v>45.3</v>
      </c>
      <c r="H16" s="7">
        <f>ROUND(680/25.4, 1)</f>
        <v>26.8</v>
      </c>
      <c r="I16" s="8" t="str">
        <f t="shared" si="5"/>
        <v>45.3 x 26.8</v>
      </c>
      <c r="J16" s="9" t="s">
        <v>62</v>
      </c>
      <c r="K16" s="9" t="s">
        <v>63</v>
      </c>
      <c r="L16" s="10" t="s">
        <v>64</v>
      </c>
    </row>
    <row r="17">
      <c r="A17" s="11">
        <v>16.0</v>
      </c>
      <c r="B17" s="12" t="s">
        <v>12</v>
      </c>
      <c r="C17" s="12" t="s">
        <v>65</v>
      </c>
      <c r="D17" s="12" t="s">
        <v>66</v>
      </c>
      <c r="E17" s="13">
        <f>ROUND(2450/25.4, 1)</f>
        <v>96.5</v>
      </c>
      <c r="F17" s="13">
        <f>ROUND(1680/25.4, 1)</f>
        <v>66.1</v>
      </c>
      <c r="G17" s="13">
        <f>ROUND(1450/25.4, 1)</f>
        <v>57.1</v>
      </c>
      <c r="H17" s="13">
        <f>ROUND(890/25.4, 1)</f>
        <v>35</v>
      </c>
      <c r="I17" s="14" t="str">
        <f t="shared" si="5"/>
        <v>57.1 x 35</v>
      </c>
      <c r="J17" s="15" t="s">
        <v>67</v>
      </c>
      <c r="K17" s="15" t="s">
        <v>68</v>
      </c>
      <c r="L17" s="16" t="s">
        <v>69</v>
      </c>
    </row>
    <row r="18">
      <c r="A18" s="5">
        <v>17.0</v>
      </c>
      <c r="B18" s="6" t="s">
        <v>12</v>
      </c>
      <c r="C18" s="6" t="s">
        <v>70</v>
      </c>
      <c r="D18" s="6" t="s">
        <v>71</v>
      </c>
      <c r="E18" s="7">
        <f>ROUND(1750/25.4, 1)</f>
        <v>68.9</v>
      </c>
      <c r="F18" s="7">
        <f>ROUND(1180/25.4, 1)</f>
        <v>46.5</v>
      </c>
      <c r="G18" s="7">
        <f>ROUND(1000/25.4, 1)</f>
        <v>39.4</v>
      </c>
      <c r="H18" s="7">
        <f t="shared" ref="H18:H20" si="10">ROUND(600/25.4, 1)</f>
        <v>23.6</v>
      </c>
      <c r="I18" s="8" t="str">
        <f t="shared" si="5"/>
        <v>39.4 x 23.6</v>
      </c>
      <c r="J18" s="9" t="s">
        <v>72</v>
      </c>
      <c r="K18" s="9" t="s">
        <v>73</v>
      </c>
      <c r="L18" s="10" t="s">
        <v>74</v>
      </c>
    </row>
    <row r="19">
      <c r="A19" s="11">
        <v>18.0</v>
      </c>
      <c r="B19" s="12" t="s">
        <v>12</v>
      </c>
      <c r="C19" s="12" t="s">
        <v>75</v>
      </c>
      <c r="D19" s="12" t="s">
        <v>76</v>
      </c>
      <c r="E19" s="13">
        <f t="shared" ref="E19:E20" si="11">ROUND(2000/25.4, 1)</f>
        <v>78.7</v>
      </c>
      <c r="F19" s="13">
        <f>ROUND(1250/25.4, 1)</f>
        <v>49.2</v>
      </c>
      <c r="G19" s="13">
        <f>ROUND(1020/25.4, 1)</f>
        <v>40.2</v>
      </c>
      <c r="H19" s="13">
        <f t="shared" si="10"/>
        <v>23.6</v>
      </c>
      <c r="I19" s="14" t="str">
        <f t="shared" si="5"/>
        <v>40.2 x 23.6</v>
      </c>
      <c r="J19" s="15" t="s">
        <v>77</v>
      </c>
      <c r="K19" s="15" t="s">
        <v>78</v>
      </c>
      <c r="L19" s="16" t="s">
        <v>79</v>
      </c>
    </row>
    <row r="20">
      <c r="A20" s="5">
        <v>19.0</v>
      </c>
      <c r="B20" s="6" t="s">
        <v>80</v>
      </c>
      <c r="C20" s="6" t="s">
        <v>81</v>
      </c>
      <c r="D20" s="6" t="s">
        <v>82</v>
      </c>
      <c r="E20" s="7">
        <f t="shared" si="11"/>
        <v>78.7</v>
      </c>
      <c r="F20" s="7">
        <f>ROUND(1500/25.4, 1)</f>
        <v>59.1</v>
      </c>
      <c r="G20" s="7">
        <f>ROUND(950/25.4, 1)</f>
        <v>37.4</v>
      </c>
      <c r="H20" s="7">
        <f t="shared" si="10"/>
        <v>23.6</v>
      </c>
      <c r="I20" s="8" t="str">
        <f t="shared" si="5"/>
        <v>37.4 x 23.6</v>
      </c>
      <c r="J20" s="9" t="s">
        <v>83</v>
      </c>
      <c r="K20" s="9" t="s">
        <v>84</v>
      </c>
      <c r="L20" s="10" t="s">
        <v>85</v>
      </c>
    </row>
    <row r="21">
      <c r="A21" s="11">
        <v>20.0</v>
      </c>
      <c r="B21" s="12" t="s">
        <v>12</v>
      </c>
      <c r="C21" s="12" t="s">
        <v>86</v>
      </c>
      <c r="D21" s="12" t="s">
        <v>87</v>
      </c>
      <c r="E21" s="13">
        <f>ROUND(1750/25.4, 1)</f>
        <v>68.9</v>
      </c>
      <c r="F21" s="13">
        <f>ROUND(1150/25.4, 1)</f>
        <v>45.3</v>
      </c>
      <c r="G21" s="13">
        <f>ROUND(900/25.4, 1)</f>
        <v>35.4</v>
      </c>
      <c r="H21" s="13">
        <f>ROUND(500/25.4, 1)</f>
        <v>19.7</v>
      </c>
      <c r="I21" s="14" t="str">
        <f t="shared" si="5"/>
        <v>35.4 x 19.7</v>
      </c>
      <c r="J21" s="15" t="s">
        <v>88</v>
      </c>
      <c r="K21" s="15" t="s">
        <v>89</v>
      </c>
      <c r="L21" s="16" t="s">
        <v>90</v>
      </c>
    </row>
    <row r="22">
      <c r="A22" s="5">
        <v>21.0</v>
      </c>
      <c r="B22" s="6" t="s">
        <v>12</v>
      </c>
      <c r="C22" s="6" t="s">
        <v>91</v>
      </c>
      <c r="D22" s="6" t="s">
        <v>92</v>
      </c>
      <c r="E22" s="7">
        <f>ROUND(2000/25.4, 1)</f>
        <v>78.7</v>
      </c>
      <c r="F22" s="7">
        <f>ROUND(1500/25.4, 1)</f>
        <v>59.1</v>
      </c>
      <c r="G22" s="7">
        <f>ROUND(950/25.4, 1)</f>
        <v>37.4</v>
      </c>
      <c r="H22" s="7">
        <f>ROUND(600/25.4, 1)</f>
        <v>23.6</v>
      </c>
      <c r="I22" s="8" t="str">
        <f t="shared" si="5"/>
        <v>37.4 x 23.6</v>
      </c>
      <c r="J22" s="9" t="s">
        <v>93</v>
      </c>
      <c r="K22" s="9" t="s">
        <v>94</v>
      </c>
      <c r="L22" s="10" t="s">
        <v>85</v>
      </c>
    </row>
    <row r="23">
      <c r="A23" s="11">
        <v>22.0</v>
      </c>
      <c r="B23" s="12" t="s">
        <v>12</v>
      </c>
      <c r="C23" s="12" t="s">
        <v>95</v>
      </c>
      <c r="D23" s="12" t="s">
        <v>96</v>
      </c>
      <c r="E23" s="13">
        <f>ROUND(750/25.4, 1)</f>
        <v>29.5</v>
      </c>
      <c r="F23" s="13">
        <f>ROUND(500/25.4, 1)</f>
        <v>19.7</v>
      </c>
      <c r="G23" s="13">
        <f>ROUND(400/25.4, 1)</f>
        <v>15.7</v>
      </c>
      <c r="H23" s="13">
        <f>ROUND(300/25.4, 1)</f>
        <v>11.8</v>
      </c>
      <c r="I23" s="14" t="str">
        <f t="shared" si="5"/>
        <v>15.7 x 11.8</v>
      </c>
      <c r="J23" s="15" t="s">
        <v>97</v>
      </c>
      <c r="K23" s="15" t="s">
        <v>98</v>
      </c>
      <c r="L23" s="16" t="s">
        <v>99</v>
      </c>
    </row>
    <row r="24">
      <c r="A24" s="5">
        <v>23.0</v>
      </c>
      <c r="B24" s="6" t="s">
        <v>12</v>
      </c>
      <c r="C24" s="6" t="s">
        <v>100</v>
      </c>
      <c r="D24" s="6" t="s">
        <v>101</v>
      </c>
      <c r="E24" s="7">
        <f>ROUND(1346/25.4, 1)</f>
        <v>53</v>
      </c>
      <c r="F24" s="7">
        <f>ROUND(1029/25.4, 1)</f>
        <v>40.5</v>
      </c>
      <c r="G24" s="7">
        <f>ROUND(711/25.4, 1)</f>
        <v>28</v>
      </c>
      <c r="H24" s="7">
        <f>ROUND(457/25.4, 1)</f>
        <v>18</v>
      </c>
      <c r="I24" s="8" t="str">
        <f t="shared" si="5"/>
        <v>28 x 18</v>
      </c>
      <c r="J24" s="9" t="s">
        <v>102</v>
      </c>
      <c r="K24" s="9" t="s">
        <v>103</v>
      </c>
      <c r="L24" s="10" t="s">
        <v>104</v>
      </c>
    </row>
  </sheetData>
  <drawing r:id="rId1"/>
  <tableParts count="1">
    <tablePart r:id="rId3"/>
  </tableParts>
</worksheet>
</file>